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45" i="1"/>
  <c r="G44"/>
  <c r="G43"/>
  <c r="G42"/>
  <c r="G41"/>
  <c r="G40"/>
  <c r="G35"/>
  <c r="G39"/>
  <c r="G38"/>
  <c r="F26"/>
  <c r="F25"/>
  <c r="F24"/>
  <c r="F23"/>
  <c r="F22"/>
  <c r="G9"/>
  <c r="G8"/>
  <c r="G5"/>
</calcChain>
</file>

<file path=xl/sharedStrings.xml><?xml version="1.0" encoding="utf-8"?>
<sst xmlns="http://schemas.openxmlformats.org/spreadsheetml/2006/main" count="79" uniqueCount="53">
  <si>
    <t>BATTER</t>
  </si>
  <si>
    <t>DISMISSAL</t>
  </si>
  <si>
    <t>RUNS</t>
  </si>
  <si>
    <t>BALL</t>
  </si>
  <si>
    <t>4s</t>
  </si>
  <si>
    <t>6s</t>
  </si>
  <si>
    <t>SR</t>
  </si>
  <si>
    <t>Aariv Malhotra</t>
  </si>
  <si>
    <r>
      <t xml:space="preserve">lbw  b </t>
    </r>
    <r>
      <rPr>
        <b/>
        <sz val="11"/>
        <color theme="1"/>
        <rFont val="Calibri"/>
        <family val="2"/>
        <scheme val="minor"/>
      </rPr>
      <t>Reyvit</t>
    </r>
  </si>
  <si>
    <t>Anurag Sharma (VC)</t>
  </si>
  <si>
    <r>
      <t xml:space="preserve">b  </t>
    </r>
    <r>
      <rPr>
        <b/>
        <sz val="11"/>
        <color theme="1"/>
        <rFont val="Calibri"/>
        <family val="2"/>
        <scheme val="minor"/>
      </rPr>
      <t>Yugan</t>
    </r>
  </si>
  <si>
    <t>Vivaan Shekhawat</t>
  </si>
  <si>
    <t>Shaurya Deshpande</t>
  </si>
  <si>
    <t>not out</t>
  </si>
  <si>
    <t>Kriday Bansal</t>
  </si>
  <si>
    <t>Udit Goswami (C)</t>
  </si>
  <si>
    <t>Advik Rathore</t>
  </si>
  <si>
    <t>yet to bat</t>
  </si>
  <si>
    <t>Anirudh Solanki (WK)</t>
  </si>
  <si>
    <t>Rudransh Mehta</t>
  </si>
  <si>
    <t>Yuvraj Panwar</t>
  </si>
  <si>
    <t>Arnav Choudhury</t>
  </si>
  <si>
    <t>-</t>
  </si>
  <si>
    <r>
      <rPr>
        <sz val="24"/>
        <color theme="1"/>
        <rFont val="Calibri"/>
        <family val="2"/>
        <scheme val="minor"/>
      </rPr>
      <t>ROYAL CHALLENGERS XI   (</t>
    </r>
    <r>
      <rPr>
        <b/>
        <sz val="18"/>
        <color theme="1"/>
        <rFont val="Calibri"/>
        <family val="2"/>
        <scheme val="minor"/>
      </rPr>
      <t>Bowling 1st Innings)</t>
    </r>
  </si>
  <si>
    <t>BOWLERS</t>
  </si>
  <si>
    <t>Overs</t>
  </si>
  <si>
    <t>Runs</t>
  </si>
  <si>
    <t>Wickets</t>
  </si>
  <si>
    <t>Maidens</t>
  </si>
  <si>
    <t>Economy</t>
  </si>
  <si>
    <t>Reyvit Joshi</t>
  </si>
  <si>
    <t>Yugan Bedi</t>
  </si>
  <si>
    <t>Arnesh Tiwari</t>
  </si>
  <si>
    <t>Vihaan Kothari</t>
  </si>
  <si>
    <t>Krithin Iyer</t>
  </si>
  <si>
    <r>
      <t xml:space="preserve">PRECISION XI               </t>
    </r>
    <r>
      <rPr>
        <b/>
        <sz val="24"/>
        <color theme="1"/>
        <rFont val="Calibri"/>
        <family val="2"/>
        <scheme val="minor"/>
      </rPr>
      <t>153/3</t>
    </r>
    <r>
      <rPr>
        <sz val="2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(54.3)</t>
    </r>
    <r>
      <rPr>
        <sz val="24"/>
        <color theme="1"/>
        <rFont val="Calibri"/>
        <family val="2"/>
        <scheme val="minor"/>
      </rPr>
      <t xml:space="preserve">    (</t>
    </r>
    <r>
      <rPr>
        <b/>
        <i/>
        <sz val="18"/>
        <color theme="1"/>
        <rFont val="Calibri"/>
        <family val="2"/>
        <scheme val="minor"/>
      </rPr>
      <t>Batting 1st Innings)</t>
    </r>
  </si>
  <si>
    <t>___________________________________________________________________________________________________________________</t>
  </si>
  <si>
    <r>
      <rPr>
        <sz val="24"/>
        <color theme="1"/>
        <rFont val="Calibri"/>
        <family val="2"/>
        <scheme val="minor"/>
      </rPr>
      <t xml:space="preserve">ROYAL CHALLENGERS XI                 </t>
    </r>
    <r>
      <rPr>
        <b/>
        <sz val="24"/>
        <color theme="1"/>
        <rFont val="Calibri"/>
        <family val="2"/>
        <scheme val="minor"/>
      </rPr>
      <t>119/All Out</t>
    </r>
    <r>
      <rPr>
        <sz val="11"/>
        <color theme="1"/>
        <rFont val="Calibri"/>
        <family val="2"/>
        <scheme val="minor"/>
      </rPr>
      <t xml:space="preserve">   (35.3)    </t>
    </r>
    <r>
      <rPr>
        <b/>
        <i/>
        <sz val="18"/>
        <color theme="1"/>
        <rFont val="Calibri"/>
        <family val="2"/>
        <scheme val="minor"/>
      </rPr>
      <t>(Batting 1st Innings)</t>
    </r>
  </si>
  <si>
    <t>Shaivik Rana (WK)</t>
  </si>
  <si>
    <t>Moksh Bhargava</t>
  </si>
  <si>
    <r>
      <t xml:space="preserve">lbw  b </t>
    </r>
    <r>
      <rPr>
        <b/>
        <sz val="11"/>
        <color theme="1"/>
        <rFont val="Calibri"/>
        <family val="2"/>
        <scheme val="minor"/>
      </rPr>
      <t>Yuvraj</t>
    </r>
  </si>
  <si>
    <t>Devit Arora</t>
  </si>
  <si>
    <r>
      <t xml:space="preserve">b </t>
    </r>
    <r>
      <rPr>
        <b/>
        <sz val="11"/>
        <color theme="1"/>
        <rFont val="Calibri"/>
        <family val="2"/>
        <scheme val="minor"/>
      </rPr>
      <t>Udit</t>
    </r>
  </si>
  <si>
    <r>
      <t xml:space="preserve">c </t>
    </r>
    <r>
      <rPr>
        <b/>
        <sz val="11"/>
        <color theme="1"/>
        <rFont val="Calibri"/>
        <family val="2"/>
        <scheme val="minor"/>
      </rPr>
      <t>Anurag</t>
    </r>
    <r>
      <rPr>
        <sz val="11"/>
        <color theme="1"/>
        <rFont val="Calibri"/>
        <family val="2"/>
        <scheme val="minor"/>
      </rPr>
      <t xml:space="preserve">  b </t>
    </r>
    <r>
      <rPr>
        <b/>
        <sz val="11"/>
        <color theme="1"/>
        <rFont val="Calibri"/>
        <family val="2"/>
        <scheme val="minor"/>
      </rPr>
      <t>Arnav</t>
    </r>
  </si>
  <si>
    <t>Ahaan Pratap</t>
  </si>
  <si>
    <r>
      <t xml:space="preserve">b </t>
    </r>
    <r>
      <rPr>
        <b/>
        <sz val="11"/>
        <color theme="1"/>
        <rFont val="Calibri"/>
        <family val="2"/>
        <scheme val="minor"/>
      </rPr>
      <t>Kriday</t>
    </r>
  </si>
  <si>
    <t>Rishit Narang (C)</t>
  </si>
  <si>
    <r>
      <t xml:space="preserve">c </t>
    </r>
    <r>
      <rPr>
        <b/>
        <sz val="11"/>
        <color theme="1"/>
        <rFont val="Calibri"/>
        <family val="2"/>
        <scheme val="minor"/>
      </rPr>
      <t>Vivaan</t>
    </r>
    <r>
      <rPr>
        <sz val="11"/>
        <color theme="1"/>
        <rFont val="Calibri"/>
        <family val="2"/>
        <scheme val="minor"/>
      </rPr>
      <t xml:space="preserve">  b </t>
    </r>
    <r>
      <rPr>
        <b/>
        <sz val="11"/>
        <color theme="1"/>
        <rFont val="Calibri"/>
        <family val="2"/>
        <scheme val="minor"/>
      </rPr>
      <t>Rudransh</t>
    </r>
  </si>
  <si>
    <t>Tanishq Upamanyu (VC)</t>
  </si>
  <si>
    <r>
      <t xml:space="preserve">lbw  b </t>
    </r>
    <r>
      <rPr>
        <b/>
        <sz val="11"/>
        <color theme="1"/>
        <rFont val="Calibri"/>
        <family val="2"/>
        <scheme val="minor"/>
      </rPr>
      <t>Udit</t>
    </r>
  </si>
  <si>
    <r>
      <t xml:space="preserve">b  </t>
    </r>
    <r>
      <rPr>
        <b/>
        <sz val="11"/>
        <color theme="1"/>
        <rFont val="Calibri"/>
        <family val="2"/>
        <scheme val="minor"/>
      </rPr>
      <t>Arnav</t>
    </r>
  </si>
  <si>
    <r>
      <t xml:space="preserve">c&amp;b </t>
    </r>
    <r>
      <rPr>
        <b/>
        <sz val="11"/>
        <color theme="1"/>
        <rFont val="Calibri"/>
        <family val="2"/>
        <scheme val="minor"/>
      </rPr>
      <t>Arnav</t>
    </r>
  </si>
  <si>
    <r>
      <t xml:space="preserve">c </t>
    </r>
    <r>
      <rPr>
        <b/>
        <sz val="11"/>
        <color theme="1"/>
        <rFont val="Calibri"/>
        <family val="2"/>
        <scheme val="minor"/>
      </rPr>
      <t>Anurag</t>
    </r>
    <r>
      <rPr>
        <sz val="11"/>
        <color theme="1"/>
        <rFont val="Calibri"/>
        <family val="2"/>
        <scheme val="minor"/>
      </rPr>
      <t xml:space="preserve">  b </t>
    </r>
    <r>
      <rPr>
        <b/>
        <sz val="11"/>
        <color theme="1"/>
        <rFont val="Calibri"/>
        <family val="2"/>
        <scheme val="minor"/>
      </rPr>
      <t>Udit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</si>
</sst>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topLeftCell="A16" workbookViewId="0">
      <selection activeCell="D40" sqref="D40"/>
    </sheetView>
  </sheetViews>
  <sheetFormatPr defaultRowHeight="14.5"/>
  <cols>
    <col min="1" max="1" width="22" customWidth="1"/>
    <col min="2" max="2" width="19.6328125" customWidth="1"/>
    <col min="6" max="6" width="9.7265625" customWidth="1"/>
  </cols>
  <sheetData>
    <row r="1" spans="1:7" ht="31">
      <c r="A1" s="1" t="s">
        <v>35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5" spans="1:7">
      <c r="A5" t="s">
        <v>7</v>
      </c>
      <c r="B5" t="s">
        <v>8</v>
      </c>
      <c r="C5">
        <v>63</v>
      </c>
      <c r="D5">
        <v>121</v>
      </c>
      <c r="E5">
        <v>2</v>
      </c>
      <c r="F5">
        <v>0</v>
      </c>
      <c r="G5">
        <f>(C5/D5)*100</f>
        <v>52.066115702479344</v>
      </c>
    </row>
    <row r="6" spans="1:7">
      <c r="A6" t="s">
        <v>9</v>
      </c>
      <c r="B6" t="s">
        <v>10</v>
      </c>
      <c r="C6">
        <v>18</v>
      </c>
      <c r="D6">
        <v>60</v>
      </c>
      <c r="E6">
        <v>1</v>
      </c>
      <c r="F6">
        <v>0</v>
      </c>
      <c r="G6">
        <v>30.01</v>
      </c>
    </row>
    <row r="7" spans="1:7">
      <c r="A7" t="s">
        <v>11</v>
      </c>
      <c r="B7" t="s">
        <v>10</v>
      </c>
      <c r="C7">
        <v>18</v>
      </c>
      <c r="D7">
        <v>64</v>
      </c>
      <c r="E7">
        <v>0</v>
      </c>
      <c r="F7">
        <v>2</v>
      </c>
      <c r="G7">
        <v>28.12</v>
      </c>
    </row>
    <row r="8" spans="1:7">
      <c r="A8" t="s">
        <v>12</v>
      </c>
      <c r="B8" t="s">
        <v>13</v>
      </c>
      <c r="C8">
        <v>42</v>
      </c>
      <c r="D8">
        <v>59</v>
      </c>
      <c r="E8">
        <v>1</v>
      </c>
      <c r="F8">
        <v>2</v>
      </c>
      <c r="G8">
        <f>(C8/D8)*100</f>
        <v>71.186440677966104</v>
      </c>
    </row>
    <row r="9" spans="1:7">
      <c r="A9" t="s">
        <v>14</v>
      </c>
      <c r="B9" t="s">
        <v>13</v>
      </c>
      <c r="C9">
        <v>12</v>
      </c>
      <c r="D9">
        <v>23</v>
      </c>
      <c r="E9">
        <v>1</v>
      </c>
      <c r="F9">
        <v>0</v>
      </c>
      <c r="G9">
        <f>(C9/D9)*100</f>
        <v>52.173913043478258</v>
      </c>
    </row>
    <row r="10" spans="1:7">
      <c r="A10" t="s">
        <v>15</v>
      </c>
      <c r="B10" t="s">
        <v>17</v>
      </c>
      <c r="C10" t="s">
        <v>22</v>
      </c>
    </row>
    <row r="11" spans="1:7">
      <c r="A11" t="s">
        <v>16</v>
      </c>
      <c r="B11" t="s">
        <v>17</v>
      </c>
      <c r="C11" t="s">
        <v>22</v>
      </c>
    </row>
    <row r="12" spans="1:7">
      <c r="A12" t="s">
        <v>18</v>
      </c>
      <c r="B12" t="s">
        <v>17</v>
      </c>
      <c r="C12" t="s">
        <v>22</v>
      </c>
    </row>
    <row r="13" spans="1:7">
      <c r="A13" t="s">
        <v>19</v>
      </c>
      <c r="B13" t="s">
        <v>17</v>
      </c>
      <c r="C13" t="s">
        <v>22</v>
      </c>
    </row>
    <row r="14" spans="1:7">
      <c r="A14" t="s">
        <v>20</v>
      </c>
      <c r="B14" t="s">
        <v>17</v>
      </c>
      <c r="C14" t="s">
        <v>22</v>
      </c>
    </row>
    <row r="15" spans="1:7">
      <c r="A15" t="s">
        <v>21</v>
      </c>
      <c r="B15" t="s">
        <v>17</v>
      </c>
      <c r="C15" t="s">
        <v>22</v>
      </c>
    </row>
    <row r="18" spans="1:6" ht="31">
      <c r="A18" t="s">
        <v>23</v>
      </c>
    </row>
    <row r="20" spans="1:6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</row>
    <row r="22" spans="1:6">
      <c r="A22" t="s">
        <v>30</v>
      </c>
      <c r="B22" s="3">
        <v>12</v>
      </c>
      <c r="C22" s="3">
        <v>35</v>
      </c>
      <c r="D22" s="3">
        <v>1</v>
      </c>
      <c r="E22" s="3">
        <v>2</v>
      </c>
      <c r="F22">
        <f>(C22/B22)</f>
        <v>2.9166666666666665</v>
      </c>
    </row>
    <row r="23" spans="1:6">
      <c r="A23" t="s">
        <v>31</v>
      </c>
      <c r="B23" s="3">
        <v>11</v>
      </c>
      <c r="C23" s="3">
        <v>30</v>
      </c>
      <c r="D23" s="3">
        <v>2</v>
      </c>
      <c r="E23" s="3">
        <v>3</v>
      </c>
      <c r="F23">
        <f>(C23/B23)</f>
        <v>2.7272727272727271</v>
      </c>
    </row>
    <row r="24" spans="1:6">
      <c r="A24" t="s">
        <v>32</v>
      </c>
      <c r="B24" s="3">
        <v>10.3</v>
      </c>
      <c r="C24" s="3">
        <v>28</v>
      </c>
      <c r="D24" s="3">
        <v>0</v>
      </c>
      <c r="E24" s="3">
        <v>2</v>
      </c>
      <c r="F24">
        <f>(C24/B24)</f>
        <v>2.7184466019417473</v>
      </c>
    </row>
    <row r="25" spans="1:6">
      <c r="A25" t="s">
        <v>33</v>
      </c>
      <c r="B25" s="3">
        <v>11.2</v>
      </c>
      <c r="C25" s="3">
        <v>33</v>
      </c>
      <c r="D25" s="3">
        <v>0</v>
      </c>
      <c r="E25" s="3">
        <v>1</v>
      </c>
      <c r="F25">
        <f>(C25/B25)</f>
        <v>2.9464285714285716</v>
      </c>
    </row>
    <row r="26" spans="1:6">
      <c r="A26" t="s">
        <v>34</v>
      </c>
      <c r="B26" s="3">
        <v>9</v>
      </c>
      <c r="C26" s="3">
        <v>27</v>
      </c>
      <c r="D26" s="3">
        <v>0</v>
      </c>
      <c r="E26" s="3">
        <v>4</v>
      </c>
      <c r="F26">
        <f>(C26/B26)</f>
        <v>3</v>
      </c>
    </row>
    <row r="28" spans="1:6">
      <c r="A28" t="s">
        <v>36</v>
      </c>
    </row>
    <row r="31" spans="1:6" ht="31">
      <c r="A31" t="s">
        <v>37</v>
      </c>
    </row>
    <row r="33" spans="1:7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</row>
    <row r="35" spans="1:7">
      <c r="A35" t="s">
        <v>38</v>
      </c>
      <c r="B35" t="s">
        <v>43</v>
      </c>
      <c r="C35">
        <v>15</v>
      </c>
      <c r="D35">
        <v>28</v>
      </c>
      <c r="E35">
        <v>2</v>
      </c>
      <c r="F35">
        <v>0</v>
      </c>
      <c r="G35">
        <f>(C35/D35)*100</f>
        <v>53.571428571428569</v>
      </c>
    </row>
    <row r="36" spans="1:7">
      <c r="A36" t="s">
        <v>39</v>
      </c>
      <c r="B36" t="s">
        <v>40</v>
      </c>
      <c r="C36">
        <v>25</v>
      </c>
      <c r="D36">
        <v>40</v>
      </c>
      <c r="E36">
        <v>3</v>
      </c>
      <c r="F36">
        <v>2</v>
      </c>
      <c r="G36">
        <v>30.01</v>
      </c>
    </row>
    <row r="37" spans="1:7">
      <c r="A37" t="s">
        <v>41</v>
      </c>
      <c r="B37" t="s">
        <v>42</v>
      </c>
      <c r="C37">
        <v>20</v>
      </c>
      <c r="D37">
        <v>32</v>
      </c>
      <c r="E37">
        <v>2</v>
      </c>
      <c r="F37">
        <v>2</v>
      </c>
      <c r="G37">
        <v>28.12</v>
      </c>
    </row>
    <row r="38" spans="1:7">
      <c r="A38" t="s">
        <v>44</v>
      </c>
      <c r="B38" t="s">
        <v>45</v>
      </c>
      <c r="C38">
        <v>10</v>
      </c>
      <c r="D38">
        <v>25</v>
      </c>
      <c r="E38">
        <v>1</v>
      </c>
      <c r="F38">
        <v>0</v>
      </c>
      <c r="G38">
        <f>(C38/D38)*100</f>
        <v>40</v>
      </c>
    </row>
    <row r="39" spans="1:7">
      <c r="A39" t="s">
        <v>46</v>
      </c>
      <c r="B39" t="s">
        <v>47</v>
      </c>
      <c r="C39">
        <v>18</v>
      </c>
      <c r="D39">
        <v>28</v>
      </c>
      <c r="E39">
        <v>2</v>
      </c>
      <c r="F39">
        <v>1</v>
      </c>
      <c r="G39">
        <f>(C39/D39)*100</f>
        <v>64.285714285714292</v>
      </c>
    </row>
    <row r="40" spans="1:7">
      <c r="A40" t="s">
        <v>34</v>
      </c>
      <c r="B40" t="s">
        <v>49</v>
      </c>
      <c r="C40">
        <v>5</v>
      </c>
      <c r="D40">
        <v>10</v>
      </c>
      <c r="E40">
        <v>0</v>
      </c>
      <c r="F40">
        <v>0</v>
      </c>
      <c r="G40">
        <f>(C40/D40)*100</f>
        <v>50</v>
      </c>
    </row>
    <row r="41" spans="1:7">
      <c r="A41" t="s">
        <v>48</v>
      </c>
      <c r="B41" t="s">
        <v>50</v>
      </c>
      <c r="C41">
        <v>6</v>
      </c>
      <c r="D41">
        <v>8</v>
      </c>
      <c r="E41">
        <v>1</v>
      </c>
      <c r="F41">
        <v>0</v>
      </c>
      <c r="G41">
        <f>(C41/D41)*100</f>
        <v>75</v>
      </c>
    </row>
    <row r="42" spans="1:7">
      <c r="A42" t="s">
        <v>33</v>
      </c>
      <c r="B42" t="s">
        <v>51</v>
      </c>
      <c r="C42">
        <v>4</v>
      </c>
      <c r="D42">
        <v>6</v>
      </c>
      <c r="E42">
        <v>0</v>
      </c>
      <c r="F42">
        <v>0</v>
      </c>
      <c r="G42">
        <f>(C42/D42)*100</f>
        <v>66.666666666666657</v>
      </c>
    </row>
    <row r="43" spans="1:7">
      <c r="A43" t="s">
        <v>31</v>
      </c>
      <c r="B43" t="s">
        <v>42</v>
      </c>
      <c r="C43">
        <v>5</v>
      </c>
      <c r="D43">
        <v>7</v>
      </c>
      <c r="E43">
        <v>0</v>
      </c>
      <c r="F43">
        <v>0</v>
      </c>
      <c r="G43">
        <f>(C44/D44)*100</f>
        <v>66.666666666666657</v>
      </c>
    </row>
    <row r="44" spans="1:7">
      <c r="A44" t="s">
        <v>32</v>
      </c>
      <c r="B44" t="s">
        <v>52</v>
      </c>
      <c r="C44">
        <v>6</v>
      </c>
      <c r="D44">
        <v>9</v>
      </c>
      <c r="E44">
        <v>1</v>
      </c>
      <c r="F44">
        <v>0</v>
      </c>
      <c r="G44">
        <f>(C44/D44)*100</f>
        <v>66.666666666666657</v>
      </c>
    </row>
    <row r="45" spans="1:7">
      <c r="A45" t="s">
        <v>30</v>
      </c>
      <c r="B45" t="s">
        <v>13</v>
      </c>
      <c r="C45">
        <v>15</v>
      </c>
      <c r="D45">
        <v>20</v>
      </c>
      <c r="E45">
        <v>1</v>
      </c>
      <c r="F45">
        <v>1</v>
      </c>
      <c r="G45">
        <f>(C45/D45)*100</f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2026-01-17T18:08:30Z</dcterms:created>
  <dcterms:modified xsi:type="dcterms:W3CDTF">2026-01-17T19:36:50Z</dcterms:modified>
</cp:coreProperties>
</file>